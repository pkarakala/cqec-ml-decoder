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500" firstSheet="2" activeTab="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Phase 4 Results" sheetId="4" state="visible" r:id="rId4"/>
    <sheet xmlns:r="http://schemas.openxmlformats.org/officeDocument/2006/relationships" name="Re-run Config" sheetId="5" state="visible" r:id="rId5"/>
    <sheet xmlns:r="http://schemas.openxmlformats.org/officeDocument/2006/relationships" name="Slide Placeholders" sheetId="6" state="visible" r:id="rId6"/>
    <sheet xmlns:r="http://schemas.openxmlformats.org/officeDocument/2006/relationships" name="Issues &amp; Risks" sheetId="7" state="visible" r:id="rId7"/>
  </sheets>
  <definedNames>
    <definedName name="_xlnm._FilterDatabase" localSheetId="2" hidden="1">'Tasks'!$A$4:$H$22</definedName>
    <definedName name="_xlnm._FilterDatabase" localSheetId="6" hidden="1">'Issues &amp; Risks'!$A$3:$E$13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F3A5F"/>
      <sz val="16"/>
    </font>
    <font>
      <name val="Arial"/>
      <charset val="1"/>
      <i val="1"/>
      <color rgb="FF606060"/>
      <sz val="11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1F3A5F"/>
      <sz val="14"/>
    </font>
    <font>
      <name val="Arial"/>
      <charset val="1"/>
      <i val="1"/>
      <color rgb="FF606060"/>
      <sz val="9"/>
    </font>
    <font>
      <name val="Arial"/>
      <charset val="1"/>
      <b val="1"/>
      <color rgb="FF1F3A5F"/>
      <sz val="10"/>
    </font>
  </fonts>
  <fills count="10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C6E0B4"/>
        <bgColor rgb="FFBDD7EE"/>
      </patternFill>
    </fill>
    <fill>
      <patternFill patternType="solid">
        <fgColor rgb="FFF8CBAD"/>
        <bgColor rgb="FFFCE4D6"/>
      </patternFill>
    </fill>
    <fill>
      <patternFill patternType="solid">
        <fgColor rgb="00a6e3a1"/>
        <bgColor rgb="00a6e3a1"/>
      </patternFill>
    </fill>
  </fills>
  <borders count="6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/>
      <right/>
      <top style="thin">
        <color rgb="FFB0B8C4"/>
      </top>
      <bottom/>
      <diagonal/>
    </border>
    <border>
      <left/>
      <right style="thin">
        <color rgb="FFB0B8C4"/>
      </right>
      <top style="thin">
        <color rgb="FFB0B8C4"/>
      </top>
      <bottom/>
      <diagonal/>
    </border>
    <border>
      <left/>
      <right/>
      <top style="thin">
        <color rgb="FFB0B8C4"/>
      </top>
      <bottom style="thin">
        <color rgb="FFB0B8C4"/>
      </bottom>
      <diagonal/>
    </border>
    <border>
      <left/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8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4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/>
  </cellStyles>
  <dxfs count="20"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2F2F2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ont>
        <name val="Arial"/>
        <charset val="1"/>
        <strike val="1"/>
        <color rgb="FF888888"/>
        <sz val="10"/>
      </font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4"/>
      <rgbColor rgb="FF888888"/>
      <rgbColor rgb="FF9999FF"/>
      <rgbColor rgb="FF993366"/>
      <rgbColor rgb="FFFFFF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2CC"/>
      <rgbColor rgb="FFC6E0B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" sqref="A1:C1"/>
    </sheetView>
  </sheetViews>
  <sheetFormatPr baseColWidth="8" defaultColWidth="8.6640625" defaultRowHeight="14.25"/>
  <cols>
    <col width="22" customWidth="1" min="1" max="1"/>
    <col width="50" customWidth="1" min="2" max="2"/>
    <col width="45" customWidth="1" min="3" max="3"/>
  </cols>
  <sheetData>
    <row r="1" ht="20.65" customHeight="1">
      <c r="A1" s="9" t="inlineStr">
        <is>
          <t>CQEC ML Decoder — Project Tracking Workbook</t>
        </is>
      </c>
    </row>
    <row r="2">
      <c r="A2" s="8" t="inlineStr">
        <is>
          <t>For Clark Enge &amp; Pranav Reddy · UCSB Data Science Club Project Showcase</t>
        </is>
      </c>
    </row>
    <row r="4">
      <c r="A4" s="10" t="inlineStr">
        <is>
          <t>Sheet</t>
        </is>
      </c>
      <c r="B4" s="10" t="inlineStr">
        <is>
          <t>Purpose</t>
        </is>
      </c>
      <c r="C4" s="10" t="inlineStr">
        <is>
          <t>When to use it</t>
        </is>
      </c>
    </row>
    <row r="5" ht="31.5" customHeight="1">
      <c r="A5" s="11" t="inlineStr">
        <is>
          <t>Timeline</t>
        </is>
      </c>
      <c r="B5" s="12" t="inlineStr">
        <is>
          <t>Key dates and deliverables at a glance</t>
        </is>
      </c>
      <c r="C5" s="12" t="inlineStr">
        <is>
          <t>Check at the start of every work session</t>
        </is>
      </c>
    </row>
    <row r="6" ht="31.5" customHeight="1">
      <c r="A6" s="11" t="inlineStr">
        <is>
          <t>Tasks</t>
        </is>
      </c>
      <c r="B6" s="12" t="inlineStr">
        <is>
          <t>Full action plan: owner, priority, status, due date, notes</t>
        </is>
      </c>
      <c r="C6" s="12" t="inlineStr">
        <is>
          <t>Primary working sheet — update status as you go</t>
        </is>
      </c>
    </row>
    <row r="7" ht="31.5" customHeight="1">
      <c r="A7" s="11" t="inlineStr">
        <is>
          <t>Phase 4 Results</t>
        </is>
      </c>
      <c r="B7" s="12" t="inlineStr">
        <is>
          <t>Current notebook output vs. expected after re-run</t>
        </is>
      </c>
      <c r="C7" s="12" t="inlineStr">
        <is>
          <t>Reference before/after the Phase 4 re-run</t>
        </is>
      </c>
    </row>
    <row r="8" ht="31.5" customHeight="1">
      <c r="A8" s="11" t="inlineStr">
        <is>
          <t>Re-run Config</t>
        </is>
      </c>
      <c r="B8" s="12" t="inlineStr">
        <is>
          <t>Exact cell-by-cell changes needed in the Phase 4 notebook</t>
        </is>
      </c>
      <c r="C8" s="12" t="inlineStr">
        <is>
          <t>When Pranav sits down to re-run the notebook</t>
        </is>
      </c>
    </row>
    <row r="9" ht="31.5" customHeight="1">
      <c r="A9" s="11" t="inlineStr">
        <is>
          <t>Slide Placeholders</t>
        </is>
      </c>
      <c r="B9" s="12" t="inlineStr">
        <is>
          <t>The 20+ `____` blanks in slides_content.md that need filling</t>
        </is>
      </c>
      <c r="C9" s="12" t="inlineStr">
        <is>
          <t>After Phase 4 re-run completes — fill values here, then propagate to .md</t>
        </is>
      </c>
    </row>
    <row r="10" ht="31.5" customHeight="1">
      <c r="A10" s="11" t="inlineStr">
        <is>
          <t>Issues &amp; Risks</t>
        </is>
      </c>
      <c r="B10" s="12" t="inlineStr">
        <is>
          <t>Known problems with mitigations</t>
        </is>
      </c>
      <c r="C10" s="12" t="inlineStr">
        <is>
          <t>Pre-presentation review and judge Q&amp;A prep</t>
        </is>
      </c>
    </row>
    <row r="13">
      <c r="A13" s="13" t="inlineStr">
        <is>
          <t>Repo</t>
        </is>
      </c>
      <c r="B13" s="14" t="inlineStr">
        <is>
          <t>https://github.com/pkarakala/cqec-ml-decoder</t>
        </is>
      </c>
    </row>
    <row r="14">
      <c r="A14" s="13" t="inlineStr">
        <is>
          <t>Submission</t>
        </is>
      </c>
      <c r="B14" s="14" t="inlineStr">
        <is>
          <t>Post to team Slack channel by Tue Apr 28, 11:59 PM</t>
        </is>
      </c>
    </row>
    <row r="15">
      <c r="A15" s="13" t="inlineStr">
        <is>
          <t>Midpoint</t>
        </is>
      </c>
      <c r="B15" s="14" t="inlineStr">
        <is>
          <t>Tue Apr 21, 6:30 PM · TD-W 2600 (mandatory, ≥2 members)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Normal="100" workbookViewId="0">
      <pane ySplit="3" topLeftCell="A7" activePane="bottomLeft" state="frozen"/>
      <selection pane="bottomLeft" activeCell="A1" sqref="A1:E1"/>
    </sheetView>
  </sheetViews>
  <sheetFormatPr baseColWidth="8" defaultColWidth="8.6640625" defaultRowHeight="14.25"/>
  <cols>
    <col width="14" customWidth="1" min="1" max="1"/>
    <col width="6" customWidth="1" min="2" max="2"/>
    <col width="36" customWidth="1" min="3" max="3"/>
    <col width="44" customWidth="1" min="4" max="4"/>
    <col width="14" customWidth="1" min="5" max="5"/>
  </cols>
  <sheetData>
    <row r="1" ht="17.65" customHeight="1">
      <c r="A1" s="7" t="inlineStr">
        <is>
          <t>Timeline to Project Showcase</t>
        </is>
      </c>
    </row>
    <row r="3">
      <c r="A3" s="10" t="inlineStr">
        <is>
          <t>Date</t>
        </is>
      </c>
      <c r="B3" s="10" t="inlineStr">
        <is>
          <t>Day</t>
        </is>
      </c>
      <c r="C3" s="10" t="inlineStr">
        <is>
          <t>Event</t>
        </is>
      </c>
      <c r="D3" s="10" t="inlineStr">
        <is>
          <t>Deliverable</t>
        </is>
      </c>
      <c r="E3" s="10" t="inlineStr">
        <is>
          <t>Done</t>
        </is>
      </c>
    </row>
    <row r="4" ht="30" customHeight="1">
      <c r="A4" s="12" t="inlineStr">
        <is>
          <t>2026-04-17</t>
        </is>
      </c>
      <c r="B4" s="12" t="inlineStr">
        <is>
          <t>Fri</t>
        </is>
      </c>
      <c r="C4" s="12" t="inlineStr">
        <is>
          <t>Today — plan in hand</t>
        </is>
      </c>
      <c r="D4" s="12" t="inlineStr">
        <is>
          <t>Review this workbook; start Phase 4 re-run</t>
        </is>
      </c>
      <c r="E4" s="12" t="inlineStr">
        <is>
          <t>Done</t>
        </is>
      </c>
    </row>
    <row r="5" ht="30" customHeight="1">
      <c r="A5" s="12" t="inlineStr">
        <is>
          <t>2026-04-18</t>
        </is>
      </c>
      <c r="B5" s="12" t="inlineStr">
        <is>
          <t>Sat</t>
        </is>
      </c>
      <c r="C5" s="12" t="inlineStr">
        <is>
          <t>Work day</t>
        </is>
      </c>
      <c r="D5" s="12" t="inlineStr">
        <is>
          <t>Phase 4 re-run completes; fill slide blanks; fix Phase 3 overfitting</t>
        </is>
      </c>
      <c r="E5" s="12" t="inlineStr">
        <is>
          <t>In progress (poster next)</t>
        </is>
      </c>
    </row>
    <row r="6" ht="30" customHeight="1">
      <c r="A6" s="12" t="inlineStr">
        <is>
          <t>2026-04-19</t>
        </is>
      </c>
      <c r="B6" s="12" t="inlineStr">
        <is>
          <t>Sun</t>
        </is>
      </c>
      <c r="C6" s="12" t="inlineStr">
        <is>
          <t>Work day</t>
        </is>
      </c>
      <c r="D6" s="12" t="inlineStr">
        <is>
          <t>Update README with real numbers; regenerate .pptx</t>
        </is>
      </c>
      <c r="E6" s="12" t="inlineStr">
        <is>
          <t>Not started</t>
        </is>
      </c>
    </row>
    <row r="7" ht="30" customHeight="1">
      <c r="A7" s="12" t="inlineStr">
        <is>
          <t>2026-04-20</t>
        </is>
      </c>
      <c r="B7" s="12" t="inlineStr">
        <is>
          <t>Mon</t>
        </is>
      </c>
      <c r="C7" s="12" t="inlineStr">
        <is>
          <t>Poster build</t>
        </is>
      </c>
      <c r="D7" s="12" t="inlineStr">
        <is>
          <t>Poster v1 drafted; blurb written; dry-run the talk</t>
        </is>
      </c>
      <c r="E7" s="12" t="inlineStr">
        <is>
          <t>Not started</t>
        </is>
      </c>
    </row>
    <row r="8" ht="30" customHeight="1">
      <c r="A8" s="15" t="inlineStr">
        <is>
          <t>2026-04-21</t>
        </is>
      </c>
      <c r="B8" s="15" t="inlineStr">
        <is>
          <t>Tue</t>
        </is>
      </c>
      <c r="C8" s="15" t="inlineStr">
        <is>
          <t>Midpoint Showcase 2 · 6:30 PM TD-W 2600</t>
        </is>
      </c>
      <c r="D8" s="15" t="inlineStr">
        <is>
          <t>Present poster; take feedback notes</t>
        </is>
      </c>
      <c r="E8" s="15" t="inlineStr">
        <is>
          <t>Not started</t>
        </is>
      </c>
    </row>
    <row r="9" ht="30" customHeight="1">
      <c r="A9" s="12" t="inlineStr">
        <is>
          <t>2026-04-22</t>
        </is>
      </c>
      <c r="B9" s="12" t="inlineStr">
        <is>
          <t>Wed</t>
        </is>
      </c>
      <c r="C9" s="12" t="inlineStr">
        <is>
          <t>Incorporate feedback</t>
        </is>
      </c>
      <c r="D9" s="12" t="inlineStr">
        <is>
          <t>Apply changes from midpoint feedback</t>
        </is>
      </c>
      <c r="E9" s="12" t="inlineStr">
        <is>
          <t>Not started</t>
        </is>
      </c>
    </row>
    <row r="10" ht="30" customHeight="1">
      <c r="A10" s="12" t="inlineStr">
        <is>
          <t>2026-04-23</t>
        </is>
      </c>
      <c r="B10" s="12" t="inlineStr">
        <is>
          <t>Thu</t>
        </is>
      </c>
      <c r="C10" s="12" t="inlineStr">
        <is>
          <t>Stretch work</t>
        </is>
      </c>
      <c r="D10" s="12" t="inlineStr">
        <is>
          <t>Latency analysis for Phase 3 &amp; 4</t>
        </is>
      </c>
      <c r="E10" s="12" t="inlineStr">
        <is>
          <t>Not started</t>
        </is>
      </c>
    </row>
    <row r="11" ht="30" customHeight="1">
      <c r="A11" s="12" t="inlineStr">
        <is>
          <t>2026-04-24</t>
        </is>
      </c>
      <c r="B11" s="12" t="inlineStr">
        <is>
          <t>Fri</t>
        </is>
      </c>
      <c r="C11" s="12" t="inlineStr">
        <is>
          <t>Stretch work</t>
        </is>
      </c>
      <c r="D11" s="12" t="inlineStr">
        <is>
          <t>Phase 4 drift-rate robustness sweep</t>
        </is>
      </c>
      <c r="E11" s="12" t="inlineStr">
        <is>
          <t>Not started</t>
        </is>
      </c>
    </row>
    <row r="12" ht="30" customHeight="1">
      <c r="A12" s="12" t="inlineStr">
        <is>
          <t>2026-04-25</t>
        </is>
      </c>
      <c r="B12" s="12" t="inlineStr">
        <is>
          <t>Sat</t>
        </is>
      </c>
      <c r="C12" s="12" t="inlineStr">
        <is>
          <t>Polish</t>
        </is>
      </c>
      <c r="D12" s="12" t="inlineStr">
        <is>
          <t>Poster v2 final pass</t>
        </is>
      </c>
      <c r="E12" s="12" t="inlineStr">
        <is>
          <t>Not started</t>
        </is>
      </c>
    </row>
    <row r="13" ht="30" customHeight="1">
      <c r="A13" s="12" t="inlineStr">
        <is>
          <t>2026-04-26</t>
        </is>
      </c>
      <c r="B13" s="12" t="inlineStr">
        <is>
          <t>Sun</t>
        </is>
      </c>
      <c r="C13" s="12" t="inlineStr">
        <is>
          <t>Polish</t>
        </is>
      </c>
      <c r="D13" s="12" t="inlineStr">
        <is>
          <t>Cross-check numbers across README, slides, poster</t>
        </is>
      </c>
      <c r="E13" s="12" t="inlineStr">
        <is>
          <t>Not started</t>
        </is>
      </c>
    </row>
    <row r="14" ht="30" customHeight="1">
      <c r="A14" s="12" t="inlineStr">
        <is>
          <t>2026-04-27</t>
        </is>
      </c>
      <c r="B14" s="12" t="inlineStr">
        <is>
          <t>Mon</t>
        </is>
      </c>
      <c r="C14" s="12" t="inlineStr">
        <is>
          <t>Final review</t>
        </is>
      </c>
      <c r="D14" s="12" t="inlineStr">
        <is>
          <t>Both partners sign off on submission package</t>
        </is>
      </c>
      <c r="E14" s="12" t="inlineStr">
        <is>
          <t>Not started</t>
        </is>
      </c>
    </row>
    <row r="15" ht="30" customHeight="1">
      <c r="A15" s="15" t="inlineStr">
        <is>
          <t>2026-04-28</t>
        </is>
      </c>
      <c r="B15" s="15" t="inlineStr">
        <is>
          <t>Tue</t>
        </is>
      </c>
      <c r="C15" s="15" t="inlineStr">
        <is>
          <t>SUBMISSION DEADLINE · 11:59 PM</t>
        </is>
      </c>
      <c r="D15" s="15" t="inlineStr">
        <is>
          <t>Post to Slack: poster link + repo link + blurb</t>
        </is>
      </c>
      <c r="E15" s="15" t="inlineStr">
        <is>
          <t>Not started</t>
        </is>
      </c>
    </row>
    <row r="16" ht="30" customHeight="1">
      <c r="A16" s="12" t="inlineStr">
        <is>
          <t>2026-04-30</t>
        </is>
      </c>
      <c r="B16" s="12" t="inlineStr">
        <is>
          <t>Thu</t>
        </is>
      </c>
      <c r="C16" s="12" t="inlineStr">
        <is>
          <t>Finalists announced</t>
        </is>
      </c>
      <c r="D16" s="12" t="inlineStr">
        <is>
          <t>Check for finalist notification</t>
        </is>
      </c>
      <c r="E16" s="12" t="inlineStr">
        <is>
          <t>Not started</t>
        </is>
      </c>
    </row>
    <row r="17" ht="30" customHeight="1">
      <c r="A17" s="12" t="inlineStr">
        <is>
          <t>2026-05-05</t>
        </is>
      </c>
      <c r="B17" s="12" t="inlineStr">
        <is>
          <t>Mon</t>
        </is>
      </c>
      <c r="C17" s="12" t="inlineStr">
        <is>
          <t>Finalist rehearsal (if selected)</t>
        </is>
      </c>
      <c r="D17" s="12" t="inlineStr">
        <is>
          <t>12-min presentation dry-run</t>
        </is>
      </c>
      <c r="E17" s="12" t="inlineStr">
        <is>
          <t>Not started</t>
        </is>
      </c>
    </row>
    <row r="18" ht="30" customHeight="1">
      <c r="A18" s="15" t="inlineStr">
        <is>
          <t>2026-05-08</t>
        </is>
      </c>
      <c r="B18" s="15" t="inlineStr">
        <is>
          <t>Thu</t>
        </is>
      </c>
      <c r="C18" s="15" t="inlineStr">
        <is>
          <t>Project Showcase (if selected)</t>
        </is>
      </c>
      <c r="D18" s="15" t="inlineStr">
        <is>
          <t>Full presentation</t>
        </is>
      </c>
      <c r="E18" s="15" t="inlineStr">
        <is>
          <t>Not started</t>
        </is>
      </c>
    </row>
  </sheetData>
  <mergeCells count="1">
    <mergeCell ref="A1:E1"/>
  </mergeCells>
  <conditionalFormatting sqref="E4:E18">
    <cfRule type="cellIs" priority="2" operator="equal" dxfId="10">
      <formula>"Not started"</formula>
    </cfRule>
    <cfRule type="cellIs" priority="3" operator="equal" dxfId="9">
      <formula>"In progress"</formula>
    </cfRule>
    <cfRule type="cellIs" priority="4" operator="equal" dxfId="2">
      <formula>"Blocked"</formula>
    </cfRule>
    <cfRule type="cellIs" priority="5" operator="equal" dxfId="0">
      <formula>"Done"</formula>
    </cfRule>
  </conditionalFormatting>
  <dataValidations count="1">
    <dataValidation sqref="E4:E18" showDropDown="0" showInputMessage="0" showErrorMessage="0" allowBlank="1" type="list">
      <formula1>"Not started,In progress,Blocked,Done"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zoomScaleNormal="100" workbookViewId="0">
      <pane ySplit="4" topLeftCell="A31" activePane="bottomLeft" state="frozen"/>
      <selection pane="bottomLeft" activeCell="A1" sqref="A1:H1"/>
    </sheetView>
  </sheetViews>
  <sheetFormatPr baseColWidth="8" defaultColWidth="8.6640625" defaultRowHeight="14.25"/>
  <cols>
    <col width="4" customWidth="1" min="1" max="1"/>
    <col width="12" customWidth="1" min="2" max="2"/>
    <col width="38" customWidth="1" min="3" max="3"/>
    <col width="10" customWidth="1" min="4" max="4"/>
    <col width="11" customWidth="1" min="5" max="5"/>
    <col width="14" customWidth="1" min="6" max="6"/>
    <col width="12" customWidth="1" min="7" max="7"/>
    <col width="60" customWidth="1" min="8" max="8"/>
  </cols>
  <sheetData>
    <row r="1" ht="17.65" customHeight="1">
      <c r="A1" s="7" t="inlineStr">
        <is>
          <t>Action plan — owners, priorities, status</t>
        </is>
      </c>
    </row>
    <row r="2">
      <c r="A2" s="6" t="inlineStr">
        <is>
          <t>Update Status column as work progresses. Filter by Owner or Phase for focused views.</t>
        </is>
      </c>
    </row>
    <row r="3">
      <c r="A3" s="13" t="inlineStr">
        <is>
          <t>Progress:</t>
        </is>
      </c>
      <c r="B3" s="14" t="inlineStr">
        <is>
          <t>6 of 18 done</t>
        </is>
      </c>
      <c r="D3" s="13" t="inlineStr">
        <is>
          <t>Blockers:</t>
        </is>
      </c>
      <c r="E3" s="14" t="inlineStr">
        <is>
          <t>2 open</t>
        </is>
      </c>
    </row>
    <row r="4">
      <c r="A4" s="10" t="inlineStr">
        <is>
          <t>#</t>
        </is>
      </c>
      <c r="B4" s="10" t="inlineStr">
        <is>
          <t>Phase</t>
        </is>
      </c>
      <c r="C4" s="10" t="inlineStr">
        <is>
          <t>Task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</t>
        </is>
      </c>
      <c r="H4" s="10" t="inlineStr">
        <is>
          <t>Notes / details</t>
        </is>
      </c>
    </row>
    <row r="5" ht="57.75" customHeight="1">
      <c r="A5" s="11" t="n">
        <v>1</v>
      </c>
      <c r="B5" s="12" t="inlineStr">
        <is>
          <t>P4 Fix</t>
        </is>
      </c>
      <c r="C5" s="12" t="inlineStr">
        <is>
          <t>Re-run Phase 4 with full params &amp; tuned adaptation</t>
        </is>
      </c>
      <c r="D5" s="12" t="inlineStr">
        <is>
          <t>Pranav</t>
        </is>
      </c>
      <c r="E5" s="12" t="inlineStr">
        <is>
          <t>Blocker</t>
        </is>
      </c>
      <c r="F5" s="26" t="inlineStr">
        <is>
          <t>Done</t>
        </is>
      </c>
      <c r="G5" s="12" t="inlineStr">
        <is>
          <t>2026-04-18</t>
        </is>
      </c>
      <c r="H5" s="12" t="inlineStr">
        <is>
          <t>Cell 8: N_TRAJECTORIES=200, T=1000. Cell 12: adapt_lr=0.005, ema_decay=0.5. Hybrid baseline: supervised_every=20. ~20 min runtime. Single biggest unblocker.</t>
        </is>
      </c>
    </row>
    <row r="6" ht="57.75" customHeight="1">
      <c r="A6" s="11" t="n">
        <v>2</v>
      </c>
      <c r="B6" s="12" t="inlineStr">
        <is>
          <t>P4 Fix</t>
        </is>
      </c>
      <c r="C6" s="12" t="inlineStr">
        <is>
          <t>Decide narrative based on re-run results</t>
        </is>
      </c>
      <c r="D6" s="12" t="inlineStr">
        <is>
          <t>Both</t>
        </is>
      </c>
      <c r="E6" s="12" t="inlineStr">
        <is>
          <t>Blocker</t>
        </is>
      </c>
      <c r="F6" s="26" t="inlineStr">
        <is>
          <t>Done</t>
        </is>
      </c>
      <c r="G6" s="12" t="inlineStr">
        <is>
          <t>2026-04-19</t>
        </is>
      </c>
      <c r="H6" s="12" t="inlineStr">
        <is>
          <t>If hybrid-static gap stays &lt;2pp, pivot framing: lead with pseudo-label collapse (89% → 39%) as the headline, frame hybrid as the obvious mitigation. Don't force a gap that isn't there.</t>
        </is>
      </c>
    </row>
    <row r="7" ht="57.75" customHeight="1">
      <c r="A7" s="11" t="n">
        <v>3</v>
      </c>
      <c r="B7" s="12" t="inlineStr">
        <is>
          <t>P3 Fix</t>
        </is>
      </c>
      <c r="C7" s="12" t="inlineStr">
        <is>
          <t>Address Phase 3 GRU overfitting</t>
        </is>
      </c>
      <c r="D7" s="12" t="inlineStr">
        <is>
          <t>Clark</t>
        </is>
      </c>
      <c r="E7" s="12" t="inlineStr">
        <is>
          <t>High</t>
        </is>
      </c>
      <c r="F7" s="26" t="inlineStr">
        <is>
          <t>Done</t>
        </is>
      </c>
      <c r="G7" s="12" t="inlineStr">
        <is>
          <t>2026-04-19</t>
        </is>
      </c>
      <c r="H7" s="12" t="inlineStr">
        <is>
          <t>val_acc peaks at 86.7% epoch 10, drops to 82.9% by epoch 50. Fix: add early stopping + dropout=0.3, re-report peak. Fallback: prep judge answer 'we report final-epoch for fairness; peak was 86.7%.'</t>
        </is>
      </c>
    </row>
    <row r="8" ht="57.75" customHeight="1">
      <c r="A8" s="11" t="n">
        <v>4</v>
      </c>
      <c r="B8" s="12" t="inlineStr">
        <is>
          <t>Slides</t>
        </is>
      </c>
      <c r="C8" s="12" t="inlineStr">
        <is>
          <t>Fill all ____ blanks in slides_content.md</t>
        </is>
      </c>
      <c r="D8" s="12" t="inlineStr">
        <is>
          <t>Clark</t>
        </is>
      </c>
      <c r="E8" s="12" t="inlineStr">
        <is>
          <t>High</t>
        </is>
      </c>
      <c r="F8" s="26" t="inlineStr">
        <is>
          <t>Done</t>
        </is>
      </c>
      <c r="G8" s="12" t="inlineStr">
        <is>
          <t>2026-04-19</t>
        </is>
      </c>
      <c r="H8" s="12" t="inlineStr">
        <is>
          <t>20+ placeholders across slides 11, 12, 14. Use new numbers from re-run. See Slide Placeholders sheet for tracker.</t>
        </is>
      </c>
    </row>
    <row r="9" ht="57.75" customHeight="1">
      <c r="A9" s="11" t="n">
        <v>5</v>
      </c>
      <c r="B9" s="12" t="inlineStr">
        <is>
          <t>Docs</t>
        </is>
      </c>
      <c r="C9" s="12" t="inlineStr">
        <is>
          <t>Update README Phase 4 section with real numbers</t>
        </is>
      </c>
      <c r="D9" s="12" t="inlineStr">
        <is>
          <t>Pranav</t>
        </is>
      </c>
      <c r="E9" s="12" t="inlineStr">
        <is>
          <t>High</t>
        </is>
      </c>
      <c r="F9" s="26" t="inlineStr">
        <is>
          <t>Done</t>
        </is>
      </c>
      <c r="G9" s="12" t="inlineStr">
        <is>
          <t>2026-04-19</t>
        </is>
      </c>
      <c r="H9" s="12" t="inlineStr">
        <is>
          <t>Line 175 currently says 'results pending full notebook run.' Replace with 5-way comparison table and temporal degradation summary.</t>
        </is>
      </c>
    </row>
    <row r="10" ht="57.75" customHeight="1">
      <c r="A10" s="11" t="n">
        <v>6</v>
      </c>
      <c r="B10" s="12" t="inlineStr">
        <is>
          <t>Slides</t>
        </is>
      </c>
      <c r="C10" s="12" t="inlineStr">
        <is>
          <t>Regenerate .pptx from updated slides_content.md</t>
        </is>
      </c>
      <c r="D10" s="12" t="inlineStr">
        <is>
          <t>Pranav</t>
        </is>
      </c>
      <c r="E10" s="12" t="inlineStr">
        <is>
          <t>High</t>
        </is>
      </c>
      <c r="F10" s="26" t="inlineStr">
        <is>
          <t>Done</t>
        </is>
      </c>
      <c r="G10" s="12" t="inlineStr">
        <is>
          <t>2026-04-19</t>
        </is>
      </c>
      <c r="H10" s="12" t="inlineStr">
        <is>
          <t>Run `python presentation/build_slides.py`. Open in Google Slides. Verify every Phase 4 figure renders at right size.</t>
        </is>
      </c>
    </row>
    <row r="11" ht="57.75" customHeight="1">
      <c r="A11" s="11" t="n">
        <v>7</v>
      </c>
      <c r="B11" s="12" t="inlineStr">
        <is>
          <t>Poster</t>
        </is>
      </c>
      <c r="C11" s="12" t="inlineStr">
        <is>
          <t>Build poster v1 for Midpoint Showcase</t>
        </is>
      </c>
      <c r="D11" s="12" t="inlineStr">
        <is>
          <t>Clark</t>
        </is>
      </c>
      <c r="E11" s="12" t="inlineStr">
        <is>
          <t>High</t>
        </is>
      </c>
      <c r="F11" s="12" t="inlineStr">
        <is>
          <t>Not started</t>
        </is>
      </c>
      <c r="G11" s="12" t="inlineStr">
        <is>
          <t>2026-04-20</t>
        </is>
      </c>
      <c r="H11" s="12" t="inlineStr">
        <is>
          <t>Hero: phase4_accuracy_over_time.png. Layout: problem framing top-left, 4-phase arc middle, results table + temporal plot right. QR code to repo. Use poster workshop slides from club email.</t>
        </is>
      </c>
    </row>
    <row r="12" ht="57.75" customHeight="1">
      <c r="A12" s="11" t="n">
        <v>8</v>
      </c>
      <c r="B12" s="12" t="inlineStr">
        <is>
          <t>Submission</t>
        </is>
      </c>
      <c r="C12" s="12" t="inlineStr">
        <is>
          <t>Write 3–4 sentence brochure blurb</t>
        </is>
      </c>
      <c r="D12" s="12" t="inlineStr">
        <is>
          <t>Pranav</t>
        </is>
      </c>
      <c r="E12" s="12" t="inlineStr">
        <is>
          <t>High</t>
        </is>
      </c>
      <c r="F12" s="12" t="inlineStr">
        <is>
          <t>Not started</t>
        </is>
      </c>
      <c r="G12" s="12" t="inlineStr">
        <is>
          <t>2026-04-20</t>
        </is>
      </c>
      <c r="H12" s="12" t="inlineStr">
        <is>
          <t>Structure: (1) what continuous QEC is, (2) what you built, (3) headline finding (pseudo-label collapse), (4) why it matters. Clark edits.</t>
        </is>
      </c>
    </row>
    <row r="13" ht="57.75" customHeight="1">
      <c r="A13" s="11" t="n">
        <v>9</v>
      </c>
      <c r="B13" s="12" t="inlineStr">
        <is>
          <t>Prep</t>
        </is>
      </c>
      <c r="C13" s="12" t="inlineStr">
        <is>
          <t>Timed 12–15 min talk run-through</t>
        </is>
      </c>
      <c r="D13" s="12" t="inlineStr">
        <is>
          <t>Both</t>
        </is>
      </c>
      <c r="E13" s="12" t="inlineStr">
        <is>
          <t>Medium</t>
        </is>
      </c>
      <c r="F13" s="12" t="inlineStr">
        <is>
          <t>Not started</t>
        </is>
      </c>
      <c r="G13" s="12" t="inlineStr">
        <is>
          <t>2026-04-20</t>
        </is>
      </c>
      <c r="H13" s="12" t="inlineStr">
        <is>
          <t>Focus on slide 12 (hero). Practice exact wording for 'pseudo-label fails because…' — judges will ask about it.</t>
        </is>
      </c>
    </row>
    <row r="14" ht="57.75" customHeight="1">
      <c r="A14" s="11" t="n">
        <v>10</v>
      </c>
      <c r="B14" s="12" t="inlineStr">
        <is>
          <t>Event</t>
        </is>
      </c>
      <c r="C14" s="12" t="inlineStr">
        <is>
          <t>Attend Midpoint Showcase 2 — 6:30 PM TD-W 2600</t>
        </is>
      </c>
      <c r="D14" s="12" t="inlineStr">
        <is>
          <t>Both</t>
        </is>
      </c>
      <c r="E14" s="12" t="inlineStr">
        <is>
          <t>Blocker</t>
        </is>
      </c>
      <c r="F14" s="12" t="inlineStr">
        <is>
          <t>Not started</t>
        </is>
      </c>
      <c r="G14" s="12" t="inlineStr">
        <is>
          <t>2026-04-21</t>
        </is>
      </c>
      <c r="H14" s="12" t="inlineStr">
        <is>
          <t>Mandatory ≥2 members. Bring poster. Take feedback notes — apply immediately after.</t>
        </is>
      </c>
    </row>
    <row r="15" ht="57.75" customHeight="1">
      <c r="A15" s="11" t="n">
        <v>11</v>
      </c>
      <c r="B15" s="12" t="inlineStr">
        <is>
          <t>Poster</t>
        </is>
      </c>
      <c r="C15" s="12" t="inlineStr">
        <is>
          <t>Incorporate Midpoint feedback</t>
        </is>
      </c>
      <c r="D15" s="12" t="inlineStr">
        <is>
          <t>Clark</t>
        </is>
      </c>
      <c r="E15" s="12" t="inlineStr">
        <is>
          <t>High</t>
        </is>
      </c>
      <c r="F15" s="12" t="inlineStr">
        <is>
          <t>Not started</t>
        </is>
      </c>
      <c r="G15" s="12" t="inlineStr">
        <is>
          <t>2026-04-22</t>
        </is>
      </c>
      <c r="H15" s="12" t="inlineStr">
        <is>
          <t>Whatever tech dev officers flag. Usually clarity/legibility at poster distance.</t>
        </is>
      </c>
    </row>
    <row r="16" ht="57.75" customHeight="1">
      <c r="A16" s="11" t="n">
        <v>12</v>
      </c>
      <c r="B16" s="12" t="inlineStr">
        <is>
          <t>Analysis</t>
        </is>
      </c>
      <c r="C16" s="12" t="inlineStr">
        <is>
          <t>Detection latency analysis for Phase 3 &amp; 4</t>
        </is>
      </c>
      <c r="D16" s="12" t="inlineStr">
        <is>
          <t>Pranav</t>
        </is>
      </c>
      <c r="E16" s="12" t="inlineStr">
        <is>
          <t>Medium</t>
        </is>
      </c>
      <c r="F16" s="12" t="inlineStr">
        <is>
          <t>Not started</t>
        </is>
      </c>
      <c r="G16" s="12" t="inlineStr">
        <is>
          <t>2026-04-24</t>
        </is>
      </c>
      <c r="H16" s="12" t="inlineStr">
        <is>
          <t>metrics.py already has latency code. One extra figure: timesteps-until-detection by decoder. Strong for judges asking about real-time feasibility.</t>
        </is>
      </c>
    </row>
    <row r="17" ht="57.75" customHeight="1">
      <c r="A17" s="11" t="n">
        <v>13</v>
      </c>
      <c r="B17" s="12" t="inlineStr">
        <is>
          <t>Analysis</t>
        </is>
      </c>
      <c r="C17" s="12" t="inlineStr">
        <is>
          <t>Phase 4 drift-rate robustness sweep</t>
        </is>
      </c>
      <c r="D17" s="12" t="inlineStr">
        <is>
          <t>Clark</t>
        </is>
      </c>
      <c r="E17" s="12" t="inlineStr">
        <is>
          <t>Medium</t>
        </is>
      </c>
      <c r="F17" s="12" t="inlineStr">
        <is>
          <t>Not started</t>
        </is>
      </c>
      <c r="G17" s="12" t="inlineStr">
        <is>
          <t>2026-04-25</t>
        </is>
      </c>
      <c r="H17" s="12" t="inlineStr">
        <is>
          <t>Adaptive GRU across drift rates [0.1x, 0.5x, 1x, 2x, 5x]. Parallels Phase 2 &amp; 3 robustness figures.</t>
        </is>
      </c>
    </row>
    <row r="18" ht="57.75" customHeight="1">
      <c r="A18" s="11" t="n">
        <v>14</v>
      </c>
      <c r="B18" s="12" t="inlineStr">
        <is>
          <t>Poster</t>
        </is>
      </c>
      <c r="C18" s="12" t="inlineStr">
        <is>
          <t>Final poster v2 — submission version</t>
        </is>
      </c>
      <c r="D18" s="12" t="inlineStr">
        <is>
          <t>Both</t>
        </is>
      </c>
      <c r="E18" s="12" t="inlineStr">
        <is>
          <t>High</t>
        </is>
      </c>
      <c r="F18" s="12" t="inlineStr">
        <is>
          <t>Not started</t>
        </is>
      </c>
      <c r="G18" s="12" t="inlineStr">
        <is>
          <t>2026-04-26</t>
        </is>
      </c>
      <c r="H18" s="12" t="inlineStr">
        <is>
          <t>QR code. Cross-check all numbers match README + slides. Export PDF + high-res PNG.</t>
        </is>
      </c>
    </row>
    <row r="19" ht="57.75" customHeight="1">
      <c r="A19" s="11" t="n">
        <v>15</v>
      </c>
      <c r="B19" s="12" t="inlineStr">
        <is>
          <t>QA</t>
        </is>
      </c>
      <c r="C19" s="12" t="inlineStr">
        <is>
          <t>Cross-check all numbers across README, slides, poster</t>
        </is>
      </c>
      <c r="D19" s="12" t="inlineStr">
        <is>
          <t>Pranav</t>
        </is>
      </c>
      <c r="E19" s="12" t="inlineStr">
        <is>
          <t>High</t>
        </is>
      </c>
      <c r="F19" s="12" t="inlineStr">
        <is>
          <t>Not started</t>
        </is>
      </c>
      <c r="G19" s="12" t="inlineStr">
        <is>
          <t>2026-04-27</t>
        </is>
      </c>
      <c r="H19" s="12" t="inlineStr">
        <is>
          <t>Easy to get out of sync. Single source of truth = notebook outputs.</t>
        </is>
      </c>
    </row>
    <row r="20" ht="57.75" customHeight="1">
      <c r="A20" s="11" t="n">
        <v>16</v>
      </c>
      <c r="B20" s="12" t="inlineStr">
        <is>
          <t>Submission</t>
        </is>
      </c>
      <c r="C20" s="12" t="inlineStr">
        <is>
          <t>Submit to Slack channel before 11:59 PM</t>
        </is>
      </c>
      <c r="D20" s="12" t="inlineStr">
        <is>
          <t>Pranav</t>
        </is>
      </c>
      <c r="E20" s="12" t="inlineStr">
        <is>
          <t>Blocker</t>
        </is>
      </c>
      <c r="F20" s="12" t="inlineStr">
        <is>
          <t>Not started</t>
        </is>
      </c>
      <c r="G20" s="12" t="inlineStr">
        <is>
          <t>2026-04-28</t>
        </is>
      </c>
      <c r="H20" s="12" t="inlineStr">
        <is>
          <t>Post all three: poster link, repo link, blurb. Don't leave this to 11:58.</t>
        </is>
      </c>
    </row>
    <row r="21" ht="57.75" customHeight="1">
      <c r="A21" s="11" t="n">
        <v>17</v>
      </c>
      <c r="B21" s="12" t="inlineStr">
        <is>
          <t>Finals</t>
        </is>
      </c>
      <c r="C21" s="12" t="inlineStr">
        <is>
          <t>Prep interactive demo / animated figure</t>
        </is>
      </c>
      <c r="D21" s="12" t="inlineStr">
        <is>
          <t>Pranav</t>
        </is>
      </c>
      <c r="E21" s="12" t="inlineStr">
        <is>
          <t>Low</t>
        </is>
      </c>
      <c r="F21" s="12" t="inlineStr">
        <is>
          <t>Not started</t>
        </is>
      </c>
      <c r="G21" s="12" t="inlineStr">
        <is>
          <t>2026-05-04</t>
        </is>
      </c>
      <c r="H21" s="12" t="inlineStr">
        <is>
          <t>Only if finalists. Accuracy-vs-time animation with 5 decoder lines is memorable.</t>
        </is>
      </c>
    </row>
    <row r="22" ht="57.75" customHeight="1">
      <c r="A22" s="11" t="n">
        <v>18</v>
      </c>
      <c r="B22" s="12" t="inlineStr">
        <is>
          <t>Finals</t>
        </is>
      </c>
      <c r="C22" s="12" t="inlineStr">
        <is>
          <t>Full presentation dry-run</t>
        </is>
      </c>
      <c r="D22" s="12" t="inlineStr">
        <is>
          <t>Both</t>
        </is>
      </c>
      <c r="E22" s="12" t="inlineStr">
        <is>
          <t>Low</t>
        </is>
      </c>
      <c r="F22" s="12" t="inlineStr">
        <is>
          <t>Not started</t>
        </is>
      </c>
      <c r="G22" s="12" t="inlineStr">
        <is>
          <t>2026-05-05</t>
        </is>
      </c>
      <c r="H22" s="12" t="inlineStr">
        <is>
          <t>At rehearsal event. 12-min tight version.</t>
        </is>
      </c>
    </row>
  </sheetData>
  <autoFilter ref="A4:H22"/>
  <mergeCells count="2">
    <mergeCell ref="A2:H2"/>
    <mergeCell ref="A1:H1"/>
  </mergeCells>
  <conditionalFormatting sqref="B5:H22">
    <cfRule type="expression" priority="10" dxfId="15">
      <formula>$F5="Done"</formula>
    </cfRule>
  </conditionalFormatting>
  <conditionalFormatting sqref="E5:E22">
    <cfRule type="cellIs" priority="2" operator="equal" dxfId="2">
      <formula>"Blocker"</formula>
    </cfRule>
    <cfRule type="cellIs" priority="3" operator="equal" dxfId="5">
      <formula>"High"</formula>
    </cfRule>
    <cfRule type="cellIs" priority="4" operator="equal" dxfId="1">
      <formula>"Medium"</formula>
    </cfRule>
    <cfRule type="cellIs" priority="5" operator="equal" dxfId="3">
      <formula>"Low"</formula>
    </cfRule>
  </conditionalFormatting>
  <conditionalFormatting sqref="F5:F22">
    <cfRule type="cellIs" priority="6" operator="equal" dxfId="10">
      <formula>"Not started"</formula>
    </cfRule>
    <cfRule type="cellIs" priority="7" operator="equal" dxfId="9">
      <formula>"In progress"</formula>
    </cfRule>
    <cfRule type="cellIs" priority="8" operator="equal" dxfId="2">
      <formula>"Blocked"</formula>
    </cfRule>
    <cfRule type="cellIs" priority="9" operator="equal" dxfId="0">
      <formula>"Done"</formula>
    </cfRule>
  </conditionalFormatting>
  <dataValidations count="3">
    <dataValidation sqref="D5:D22" showDropDown="0" showInputMessage="0" showErrorMessage="0" allowBlank="1" type="list">
      <formula1>"Clark,Pranav,Both"</formula1>
      <formula2>0</formula2>
    </dataValidation>
    <dataValidation sqref="E5:E22" showDropDown="0" showInputMessage="0" showErrorMessage="0" allowBlank="1" type="list">
      <formula1>"Blocker,High,Medium,Low"</formula1>
      <formula2>0</formula2>
    </dataValidation>
    <dataValidation sqref="F5:F22" showDropDown="0" showInputMessage="0" showErrorMessage="0" allowBlank="1" type="list">
      <formula1>"Not started,In progress,Blocked,Done"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Normal="100" workbookViewId="0">
      <pane ySplit="5" topLeftCell="A6" activePane="bottomLeft" state="frozen"/>
      <selection pane="bottomLeft" activeCell="A1" sqref="A1:G1"/>
    </sheetView>
  </sheetViews>
  <sheetFormatPr baseColWidth="8" defaultColWidth="8.6640625" defaultRowHeight="14.25"/>
  <cols>
    <col width="34" customWidth="1" min="1" max="1"/>
    <col width="18" customWidth="1" min="2" max="3"/>
    <col width="10" customWidth="1" min="4" max="4"/>
    <col width="18" customWidth="1" min="5" max="6"/>
    <col width="14" customWidth="1" min="7" max="7"/>
  </cols>
  <sheetData>
    <row r="1" ht="17.65" customHeight="1">
      <c r="A1" s="7" t="inlineStr">
        <is>
          <t>Phase 4 results — current run vs. target</t>
        </is>
      </c>
    </row>
    <row r="2" ht="30" customHeight="1">
      <c r="A2" s="5" t="inlineStr">
        <is>
          <t>Current numbers are from the run with N=60, T=800, adapt_lr=0.001, ema_decay=0.7, supervised_every=50. Fill 'After re-run' columns after re-running with tuned params.</t>
        </is>
      </c>
    </row>
    <row r="4">
      <c r="A4" s="4" t="inlineStr">
        <is>
          <t>Overall test-set accuracy</t>
        </is>
      </c>
    </row>
    <row r="5" ht="27.75" customHeight="1">
      <c r="A5" s="10" t="inlineStr">
        <is>
          <t>Decoder</t>
        </is>
      </c>
      <c r="B5" s="10" t="inlineStr">
        <is>
          <t>Current (N=60)</t>
        </is>
      </c>
      <c r="C5" s="10" t="inlineStr">
        <is>
          <t>After re-run (N=200)</t>
        </is>
      </c>
      <c r="D5" s="10" t="inlineStr">
        <is>
          <t>Δ</t>
        </is>
      </c>
      <c r="E5" s="10" t="inlineStr">
        <is>
          <t>Seg 1 (low drift)</t>
        </is>
      </c>
      <c r="F5" s="10" t="inlineStr">
        <is>
          <t>Seg 5 (high drift)</t>
        </is>
      </c>
      <c r="G5" s="10" t="inlineStr">
        <is>
          <t>Drop (pp)</t>
        </is>
      </c>
    </row>
    <row r="6">
      <c r="A6" s="11" t="inlineStr">
        <is>
          <t>Threshold</t>
        </is>
      </c>
      <c r="B6" s="16" t="n">
        <v>0.7549</v>
      </c>
      <c r="C6" s="17" t="n">
        <v>0.7</v>
      </c>
      <c r="D6" s="16">
        <f>IF(ISBLANK(C6),"",C6-B6)</f>
        <v/>
      </c>
      <c r="E6" s="16" t="n">
        <v>0.76</v>
      </c>
      <c r="F6" s="16" t="n">
        <v>0.6</v>
      </c>
      <c r="G6" s="18">
        <f>(E6-F6)*100</f>
        <v/>
      </c>
    </row>
    <row r="7">
      <c r="A7" s="11" t="inlineStr">
        <is>
          <t>Bayesian Filter</t>
        </is>
      </c>
      <c r="B7" s="16" t="n">
        <v>0.803</v>
      </c>
      <c r="C7" s="17" t="n">
        <v>0.765</v>
      </c>
      <c r="D7" s="16">
        <f>IF(ISBLANK(C7),"",C7-B7)</f>
        <v/>
      </c>
      <c r="E7" s="16" t="n">
        <v>0.901</v>
      </c>
      <c r="F7" s="16" t="n">
        <v>0.65</v>
      </c>
      <c r="G7" s="18">
        <f>(E7-F7)*100</f>
        <v/>
      </c>
    </row>
    <row r="8">
      <c r="A8" s="11" t="inlineStr">
        <is>
          <t>Static GRU</t>
        </is>
      </c>
      <c r="B8" s="16" t="n">
        <v>0.8747</v>
      </c>
      <c r="C8" s="17" t="n">
        <v>0.861</v>
      </c>
      <c r="D8" s="16">
        <f>IF(ISBLANK(C8),"",C8-B8)</f>
        <v/>
      </c>
      <c r="E8" s="16" t="n">
        <v>0.892</v>
      </c>
      <c r="F8" s="16" t="n">
        <v>0.76</v>
      </c>
      <c r="G8" s="18">
        <f>(E8-F8)*100</f>
        <v/>
      </c>
    </row>
    <row r="9">
      <c r="A9" s="19" t="inlineStr">
        <is>
          <t>Adaptive GRU (pseudo-labels)</t>
        </is>
      </c>
      <c r="B9" s="20" t="n">
        <v>0.833</v>
      </c>
      <c r="C9" s="17" t="n">
        <v>0.784</v>
      </c>
      <c r="D9" s="20">
        <f>IF(ISBLANK(C9),"",C9-B9)</f>
        <v/>
      </c>
      <c r="E9" s="20" t="n">
        <v>0.458</v>
      </c>
      <c r="F9" s="20" t="n">
        <v>0.264</v>
      </c>
      <c r="G9" s="21">
        <f>(E9-F9)*100</f>
        <v/>
      </c>
    </row>
    <row r="10">
      <c r="A10" s="11" t="inlineStr">
        <is>
          <t>Adaptive GRU (hybrid, every 20)</t>
        </is>
      </c>
      <c r="B10" s="16" t="n">
        <v>0.8767</v>
      </c>
      <c r="C10" s="17" t="n">
        <v>0.857</v>
      </c>
      <c r="D10" s="16">
        <f>IF(ISBLANK(C10),"",C10-B10)</f>
        <v/>
      </c>
      <c r="E10" s="16" t="n">
        <v>0.882</v>
      </c>
      <c r="F10" s="16" t="n">
        <v>0.735</v>
      </c>
      <c r="G10" s="18">
        <f>(E10-F10)*100</f>
        <v/>
      </c>
    </row>
    <row r="12">
      <c r="A12" s="4" t="inlineStr">
        <is>
          <t>Supervision frequency sweep (hybrid mode)</t>
        </is>
      </c>
    </row>
    <row r="13" ht="24" customHeight="1">
      <c r="A13" s="5" t="inlineStr">
        <is>
          <t>Note: current run shows non-monotonic results (Every 500 &gt; Every 200) — that's noise, not signal. Re-run with N=200 should smooth this out.</t>
        </is>
      </c>
    </row>
    <row r="14" ht="27.75" customHeight="1">
      <c r="A14" s="10" t="inlineStr">
        <is>
          <t>Every N windows</t>
        </is>
      </c>
      <c r="B14" s="10" t="inlineStr">
        <is>
          <t>% supervised</t>
        </is>
      </c>
      <c r="C14" s="10" t="inlineStr">
        <is>
          <t>Current accuracy</t>
        </is>
      </c>
      <c r="D14" s="10" t="n">
        <v>0.864</v>
      </c>
    </row>
    <row r="15">
      <c r="A15" s="12" t="inlineStr">
        <is>
          <t>Every 10</t>
        </is>
      </c>
      <c r="B15" s="22" t="n">
        <v>0.1</v>
      </c>
      <c r="C15" s="16" t="n">
        <v>0.867</v>
      </c>
      <c r="D15" s="17" t="n">
        <v>0.842</v>
      </c>
    </row>
    <row r="16">
      <c r="A16" s="12" t="inlineStr">
        <is>
          <t>Every 20</t>
        </is>
      </c>
      <c r="B16" s="22" t="n">
        <v>0.05</v>
      </c>
      <c r="C16" s="16" t="n">
        <v>0.8733</v>
      </c>
      <c r="D16" s="17" t="n">
        <v>0.8070000000000001</v>
      </c>
    </row>
    <row r="17">
      <c r="A17" s="12" t="inlineStr">
        <is>
          <t>Every 50</t>
        </is>
      </c>
      <c r="B17" s="22" t="n">
        <v>0.02</v>
      </c>
      <c r="C17" s="16" t="n">
        <v>0.8628</v>
      </c>
      <c r="D17" s="17" t="n">
        <v>0.736</v>
      </c>
    </row>
    <row r="18">
      <c r="A18" s="12" t="inlineStr">
        <is>
          <t>Every 100</t>
        </is>
      </c>
      <c r="B18" s="22" t="n">
        <v>0.01</v>
      </c>
      <c r="C18" s="16" t="n">
        <v>0.8556</v>
      </c>
      <c r="D18" s="17" t="n">
        <v>0.8090000000000001</v>
      </c>
    </row>
    <row r="19">
      <c r="A19" s="12" t="inlineStr">
        <is>
          <t>Every 200</t>
        </is>
      </c>
      <c r="B19" s="22" t="n">
        <v>0.005</v>
      </c>
      <c r="C19" s="16" t="n">
        <v>0.8139999999999999</v>
      </c>
      <c r="D19" s="17" t="n">
        <v>0.583</v>
      </c>
    </row>
    <row r="20">
      <c r="A20" s="12" t="inlineStr">
        <is>
          <t>Every 500</t>
        </is>
      </c>
      <c r="B20" s="22" t="n">
        <v>0.002</v>
      </c>
      <c r="C20" s="16" t="n">
        <v>0.8532999999999999</v>
      </c>
      <c r="D20" s="17" t="n"/>
    </row>
    <row r="22">
      <c r="A22" s="4" t="inlineStr">
        <is>
          <t>Key findings to preserve in slides</t>
        </is>
      </c>
    </row>
    <row r="23" ht="33.75" customHeight="1">
      <c r="A23" s="23" t="inlineStr">
        <is>
          <t>1. Pseudo-label collapse is the hero finding</t>
        </is>
      </c>
      <c r="B23" s="3" t="inlineStr">
        <is>
          <t>Adaptive (pseudo) drops 89.3% → 38.8% across drift. Even if hybrid-vs-static is tight, this alone is a paper-worthy result about distribution shift in self-training.</t>
        </is>
      </c>
      <c r="C23" s="27" t="n"/>
      <c r="D23" s="27" t="n"/>
      <c r="E23" s="27" t="n"/>
      <c r="F23" s="27" t="n"/>
      <c r="G23" s="28" t="n"/>
    </row>
    <row r="24" ht="33.75" customHeight="1">
      <c r="A24" s="23" t="inlineStr">
        <is>
          <t>2. Bayesian has the best early performance but the worst degradation</t>
        </is>
      </c>
      <c r="B24" s="3" t="inlineStr">
        <is>
          <t>92.0% → 62.7% is a 29.3pp drop — textbook assumption failure. Use this to motivate why you need data-driven decoders.</t>
        </is>
      </c>
      <c r="C24" s="27" t="n"/>
      <c r="D24" s="27" t="n"/>
      <c r="E24" s="27" t="n"/>
      <c r="F24" s="27" t="n"/>
      <c r="G24" s="28" t="n"/>
    </row>
    <row r="25" ht="33.75" customHeight="1">
      <c r="A25" s="23" t="inlineStr">
        <is>
          <t>3. Static GRU is surprisingly robust</t>
        </is>
      </c>
      <c r="B25" s="3" t="inlineStr">
        <is>
          <t>Only 10.1pp drop across drift. This is good for the model but complicates the 'hybrid beats static' narrative. Acknowledge it; don't hide it.</t>
        </is>
      </c>
      <c r="C25" s="27" t="n"/>
      <c r="D25" s="27" t="n"/>
      <c r="E25" s="27" t="n"/>
      <c r="F25" s="27" t="n"/>
      <c r="G25" s="28" t="n"/>
    </row>
    <row r="26" ht="33.75" customHeight="1">
      <c r="A26" s="23" t="inlineStr">
        <is>
          <t>4. Current supervision sweep has noise</t>
        </is>
      </c>
      <c r="B26" s="3" t="inlineStr">
        <is>
          <t>N=200 re-run will smooth this. If it doesn't, report the mean of 3 seeds instead of a single run.</t>
        </is>
      </c>
      <c r="C26" s="27" t="n"/>
      <c r="D26" s="27" t="n"/>
      <c r="E26" s="27" t="n"/>
      <c r="F26" s="27" t="n"/>
      <c r="G26" s="28" t="n"/>
    </row>
  </sheetData>
  <mergeCells count="10">
    <mergeCell ref="B24:G24"/>
    <mergeCell ref="A13:G13"/>
    <mergeCell ref="A1:G1"/>
    <mergeCell ref="A22:G22"/>
    <mergeCell ref="B23:G23"/>
    <mergeCell ref="A12:G12"/>
    <mergeCell ref="A4:G4"/>
    <mergeCell ref="A2:G2"/>
    <mergeCell ref="B26:G26"/>
    <mergeCell ref="B25:G2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Normal="100" workbookViewId="0">
      <pane ySplit="4" topLeftCell="A20" activePane="bottomLeft" state="frozen"/>
      <selection pane="bottomLeft" activeCell="A1" sqref="A1:E1"/>
    </sheetView>
  </sheetViews>
  <sheetFormatPr baseColWidth="8" defaultColWidth="8.6640625" defaultRowHeight="14.25"/>
  <cols>
    <col width="6" customWidth="1" min="1" max="1"/>
    <col width="26" customWidth="1" min="2" max="2"/>
    <col width="28" customWidth="1" min="3" max="3"/>
    <col width="22" customWidth="1" min="4" max="4"/>
    <col width="30" customWidth="1" min="5" max="5"/>
  </cols>
  <sheetData>
    <row r="1" ht="17.65" customHeight="1">
      <c r="A1" s="7" t="inlineStr">
        <is>
          <t>Phase 4 notebook re-run — exact changes</t>
        </is>
      </c>
    </row>
    <row r="2">
      <c r="A2" s="6" t="inlineStr">
        <is>
          <t>Open notebooks/04_phase4_adaptive_decoding.ipynb and apply each change below. Run All. Expect ~20 min on M-series Mac.</t>
        </is>
      </c>
    </row>
    <row r="4">
      <c r="A4" s="10" t="inlineStr">
        <is>
          <t>#</t>
        </is>
      </c>
      <c r="B4" s="10" t="inlineStr">
        <is>
          <t>Cell</t>
        </is>
      </c>
      <c r="C4" s="10" t="inlineStr">
        <is>
          <t>Parameter</t>
        </is>
      </c>
      <c r="D4" s="10" t="inlineStr">
        <is>
          <t>Current value</t>
        </is>
      </c>
      <c r="E4" s="10" t="inlineStr">
        <is>
          <t>Change to</t>
        </is>
      </c>
    </row>
    <row r="5" ht="27.75" customHeight="1">
      <c r="A5" s="11" t="n">
        <v>1</v>
      </c>
      <c r="B5" s="12" t="inlineStr">
        <is>
          <t>Cell 8 (dataset params)</t>
        </is>
      </c>
      <c r="C5" s="12" t="inlineStr">
        <is>
          <t>N_TRAJECTORIES</t>
        </is>
      </c>
      <c r="D5" s="12" t="inlineStr">
        <is>
          <t>60</t>
        </is>
      </c>
      <c r="E5" s="24" t="inlineStr">
        <is>
          <t>200</t>
        </is>
      </c>
    </row>
    <row r="6" ht="27.75" customHeight="1">
      <c r="A6" s="11" t="n">
        <v>2</v>
      </c>
      <c r="B6" s="12" t="inlineStr">
        <is>
          <t>Cell 8 (dataset params)</t>
        </is>
      </c>
      <c r="C6" s="12" t="inlineStr">
        <is>
          <t>T (trajectory length)</t>
        </is>
      </c>
      <c r="D6" s="12" t="inlineStr">
        <is>
          <t>800</t>
        </is>
      </c>
      <c r="E6" s="24" t="inlineStr">
        <is>
          <t>1000</t>
        </is>
      </c>
    </row>
    <row r="7" ht="27.75" customHeight="1">
      <c r="A7" s="11" t="n">
        <v>3</v>
      </c>
      <c r="B7" s="12" t="inlineStr">
        <is>
          <t>Cell 12 (adaptive training)</t>
        </is>
      </c>
      <c r="C7" s="12" t="inlineStr">
        <is>
          <t>adapt_lr</t>
        </is>
      </c>
      <c r="D7" s="12" t="inlineStr">
        <is>
          <t>0.001</t>
        </is>
      </c>
      <c r="E7" s="24" t="inlineStr">
        <is>
          <t>0.005</t>
        </is>
      </c>
    </row>
    <row r="8" ht="27.75" customHeight="1">
      <c r="A8" s="11" t="n">
        <v>4</v>
      </c>
      <c r="B8" s="12" t="inlineStr">
        <is>
          <t>Cell 12 (adaptive training)</t>
        </is>
      </c>
      <c r="C8" s="12" t="inlineStr">
        <is>
          <t>ema_decay</t>
        </is>
      </c>
      <c r="D8" s="12" t="inlineStr">
        <is>
          <t>0.7</t>
        </is>
      </c>
      <c r="E8" s="24" t="inlineStr">
        <is>
          <t>0.5</t>
        </is>
      </c>
    </row>
    <row r="9" ht="27.75" customHeight="1">
      <c r="A9" s="11" t="n">
        <v>5</v>
      </c>
      <c r="B9" s="12" t="inlineStr">
        <is>
          <t>Cell 17 (hybrid eval)</t>
        </is>
      </c>
      <c r="C9" s="12" t="inlineStr">
        <is>
          <t>supervised_every (baseline)</t>
        </is>
      </c>
      <c r="D9" s="12" t="inlineStr">
        <is>
          <t>50</t>
        </is>
      </c>
      <c r="E9" s="24" t="inlineStr">
        <is>
          <t>20</t>
        </is>
      </c>
    </row>
    <row r="10" ht="27.75" customHeight="1">
      <c r="A10" s="11" t="n">
        <v>6</v>
      </c>
      <c r="B10" s="12" t="inlineStr">
        <is>
          <t>Cell 26 (supervision sweep)</t>
        </is>
      </c>
      <c r="C10" s="12" t="inlineStr">
        <is>
          <t>supervision_rates</t>
        </is>
      </c>
      <c r="D10" s="12" t="inlineStr">
        <is>
          <t>[10, 20, 50, 100, 200, 500]</t>
        </is>
      </c>
      <c r="E10" s="24" t="inlineStr">
        <is>
          <t>Keep as-is; N=200 will smooth noise</t>
        </is>
      </c>
    </row>
    <row r="13">
      <c r="A13" s="4" t="inlineStr">
        <is>
          <t>Post-run verification checklist</t>
        </is>
      </c>
    </row>
    <row r="14">
      <c r="A14" s="10" t="inlineStr">
        <is>
          <t>✓</t>
        </is>
      </c>
      <c r="B14" s="10" t="inlineStr">
        <is>
          <t>Check</t>
        </is>
      </c>
    </row>
    <row r="15" ht="21.75" customHeight="1">
      <c r="A15" s="12" t="inlineStr">
        <is>
          <t>☐</t>
        </is>
      </c>
      <c r="B15" s="12" t="inlineStr">
        <is>
          <t>All 18 cells execute without error</t>
        </is>
      </c>
      <c r="C15" s="27" t="n"/>
      <c r="D15" s="27" t="n"/>
      <c r="E15" s="28" t="n"/>
    </row>
    <row r="16" ht="21.75" customHeight="1">
      <c r="A16" s="12" t="inlineStr">
        <is>
          <t>☐</t>
        </is>
      </c>
      <c r="B16" s="12" t="inlineStr">
        <is>
          <t>New figures saved to outputs/figures/ (phase4_accuracy_over_time.png is the hero)</t>
        </is>
      </c>
      <c r="C16" s="27" t="n"/>
      <c r="D16" s="27" t="n"/>
      <c r="E16" s="28" t="n"/>
    </row>
    <row r="17" ht="21.75" customHeight="1">
      <c r="A17" s="12" t="inlineStr">
        <is>
          <t>☐</t>
        </is>
      </c>
      <c r="B17" s="12" t="inlineStr">
        <is>
          <t>Hybrid-vs-static gap increased (target: ≥3pp overall, ≥10pp at segment 5)</t>
        </is>
      </c>
      <c r="C17" s="27" t="n"/>
      <c r="D17" s="27" t="n"/>
      <c r="E17" s="28" t="n"/>
    </row>
    <row r="18" ht="21.75" customHeight="1">
      <c r="A18" s="12" t="inlineStr">
        <is>
          <t>☐</t>
        </is>
      </c>
      <c r="B18" s="12" t="inlineStr">
        <is>
          <t>Supervision sweep is monotonic (every 10 &gt; every 20 &gt; … &gt; every 500)</t>
        </is>
      </c>
      <c r="C18" s="27" t="n"/>
      <c r="D18" s="27" t="n"/>
      <c r="E18" s="28" t="n"/>
    </row>
    <row r="19" ht="21.75" customHeight="1">
      <c r="A19" s="12" t="inlineStr">
        <is>
          <t>☐</t>
        </is>
      </c>
      <c r="B19" s="12" t="inlineStr">
        <is>
          <t>Pseudo-label still collapses in segment 5 (this is the headline result — don't lose it)</t>
        </is>
      </c>
      <c r="C19" s="27" t="n"/>
      <c r="D19" s="27" t="n"/>
      <c r="E19" s="28" t="n"/>
    </row>
    <row r="20" ht="21.75" customHeight="1">
      <c r="A20" s="12" t="inlineStr">
        <is>
          <t>☐</t>
        </is>
      </c>
      <c r="B20" s="12" t="inlineStr">
        <is>
          <t>Commit + push notebook with outputs so Clark can pull fresh figures</t>
        </is>
      </c>
      <c r="C20" s="27" t="n"/>
      <c r="D20" s="27" t="n"/>
      <c r="E20" s="28" t="n"/>
    </row>
    <row r="22">
      <c r="A22" s="1" t="inlineStr">
        <is>
          <t>If hybrid gap still tight after re-run</t>
        </is>
      </c>
    </row>
    <row r="23" ht="21.75" customHeight="1">
      <c r="A23" s="12" t="inlineStr">
        <is>
          <t>1.</t>
        </is>
      </c>
      <c r="B23" s="12" t="inlineStr">
        <is>
          <t>Try adapt_lr=0.01 (more aggressive online updates)</t>
        </is>
      </c>
      <c r="C23" s="27" t="n"/>
      <c r="D23" s="27" t="n"/>
      <c r="E23" s="28" t="n"/>
    </row>
    <row r="24" ht="21.75" customHeight="1">
      <c r="A24" s="12" t="inlineStr">
        <is>
          <t>2.</t>
        </is>
      </c>
      <c r="B24" s="12" t="inlineStr">
        <is>
          <t>Try ema_decay=0.3 (even less gradient smoothing)</t>
        </is>
      </c>
      <c r="C24" s="27" t="n"/>
      <c r="D24" s="27" t="n"/>
      <c r="E24" s="28" t="n"/>
    </row>
    <row r="25" ht="21.75" customHeight="1">
      <c r="A25" s="12" t="inlineStr">
        <is>
          <t>3.</t>
        </is>
      </c>
      <c r="B25" s="12" t="inlineStr">
        <is>
          <t>Widen drift ranges: COLORED_ALPHA_END=0.95, TRANSIENT_AMP_END=1.5</t>
        </is>
      </c>
      <c r="C25" s="27" t="n"/>
      <c r="D25" s="27" t="n"/>
      <c r="E25" s="28" t="n"/>
    </row>
    <row r="26" ht="21.75" customHeight="1">
      <c r="A26" s="12" t="inlineStr">
        <is>
          <t>4.</t>
        </is>
      </c>
      <c r="B26" s="12" t="inlineStr">
        <is>
          <t>Average over 3 random seeds for cleaner statistics</t>
        </is>
      </c>
      <c r="C26" s="27" t="n"/>
      <c r="D26" s="27" t="n"/>
      <c r="E26" s="28" t="n"/>
    </row>
    <row r="27" ht="21.75" customHeight="1">
      <c r="A27" s="12" t="inlineStr">
        <is>
          <t>5.</t>
        </is>
      </c>
      <c r="B27" s="12" t="inlineStr">
        <is>
          <t>If still tight: pivot narrative — lead with pseudo-label collapse, not hybrid outperformance</t>
        </is>
      </c>
      <c r="C27" s="27" t="n"/>
      <c r="D27" s="27" t="n"/>
      <c r="E27" s="28" t="n"/>
    </row>
  </sheetData>
  <mergeCells count="15">
    <mergeCell ref="B26:E26"/>
    <mergeCell ref="B27:E27"/>
    <mergeCell ref="B17:E17"/>
    <mergeCell ref="B23:E23"/>
    <mergeCell ref="B18:E18"/>
    <mergeCell ref="A2:E2"/>
    <mergeCell ref="B16:E16"/>
    <mergeCell ref="B15:E15"/>
    <mergeCell ref="B25:E25"/>
    <mergeCell ref="A1:E1"/>
    <mergeCell ref="B24:E24"/>
    <mergeCell ref="B19:E19"/>
    <mergeCell ref="B20:E20"/>
    <mergeCell ref="A13:E13"/>
    <mergeCell ref="A22:E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Normal="100" workbookViewId="0">
      <pane ySplit="4" topLeftCell="A5" activePane="bottomLeft" state="frozen"/>
      <selection pane="bottomLeft" activeCell="A1" sqref="A1:D1"/>
    </sheetView>
  </sheetViews>
  <sheetFormatPr baseColWidth="8" defaultColWidth="8.6640625" defaultRowHeight="14.25"/>
  <cols>
    <col width="8" customWidth="1" min="1" max="1"/>
    <col width="30" customWidth="1" min="2" max="2"/>
    <col width="40" customWidth="1" min="3" max="3"/>
    <col width="22" customWidth="1" min="4" max="4"/>
    <col width="4" customWidth="1" min="5" max="5"/>
    <col width="10" customWidth="1" min="6" max="6"/>
    <col width="14" customWidth="1" min="7" max="7"/>
  </cols>
  <sheetData>
    <row r="1" ht="17.65" customHeight="1">
      <c r="A1" s="7" t="inlineStr">
        <is>
          <t>Slide placeholder tracker — fill after Phase 4 re-run</t>
        </is>
      </c>
    </row>
    <row r="2" ht="27.75" customHeight="1">
      <c r="A2" s="5" t="inlineStr">
        <is>
          <t>Every `____` in presentation/slides_content.md. Fill Value column, then search-and-replace in the .md file, then regenerate .pptx.</t>
        </is>
      </c>
    </row>
    <row r="3">
      <c r="G3" t="inlineStr">
        <is>
          <t>Filled:</t>
        </is>
      </c>
      <c r="H3" t="inlineStr">
        <is>
          <t>22 of 22</t>
        </is>
      </c>
    </row>
    <row r="4">
      <c r="A4" s="10" t="inlineStr">
        <is>
          <t>Slide</t>
        </is>
      </c>
      <c r="B4" s="10" t="inlineStr">
        <is>
          <t>Section</t>
        </is>
      </c>
      <c r="C4" s="10" t="inlineStr">
        <is>
          <t>Label</t>
        </is>
      </c>
      <c r="D4" s="10" t="inlineStr">
        <is>
          <t>70.0%</t>
        </is>
      </c>
      <c r="F4" s="13" t="inlineStr">
        <is>
          <t>Filled:</t>
        </is>
      </c>
      <c r="G4" s="14">
        <f>COUNTA(D5:D26)&amp;" of 22"</f>
        <v/>
      </c>
    </row>
    <row r="5" ht="19.5" customHeight="1">
      <c r="A5" s="12" t="inlineStr">
        <is>
          <t>11</t>
        </is>
      </c>
      <c r="B5" s="12" t="inlineStr">
        <is>
          <t>Overall comparison table</t>
        </is>
      </c>
      <c r="C5" s="12" t="inlineStr">
        <is>
          <t>Threshold accuracy</t>
        </is>
      </c>
      <c r="D5" s="25" t="inlineStr">
        <is>
          <t>76.5%</t>
        </is>
      </c>
    </row>
    <row r="6" ht="19.5" customHeight="1">
      <c r="A6" s="12" t="inlineStr">
        <is>
          <t>11</t>
        </is>
      </c>
      <c r="B6" s="12" t="inlineStr">
        <is>
          <t>Overall comparison table</t>
        </is>
      </c>
      <c r="C6" s="12" t="inlineStr">
        <is>
          <t>Bayesian Filter accuracy</t>
        </is>
      </c>
      <c r="D6" s="25" t="inlineStr">
        <is>
          <t>86.1%</t>
        </is>
      </c>
    </row>
    <row r="7" ht="19.5" customHeight="1">
      <c r="A7" s="12" t="inlineStr">
        <is>
          <t>11</t>
        </is>
      </c>
      <c r="B7" s="12" t="inlineStr">
        <is>
          <t>Overall comparison table</t>
        </is>
      </c>
      <c r="C7" s="12" t="inlineStr">
        <is>
          <t>Static GRU accuracy</t>
        </is>
      </c>
      <c r="D7" s="25" t="inlineStr">
        <is>
          <t>78.4%</t>
        </is>
      </c>
    </row>
    <row r="8" ht="19.5" customHeight="1">
      <c r="A8" s="12" t="inlineStr">
        <is>
          <t>11</t>
        </is>
      </c>
      <c r="B8" s="12" t="inlineStr">
        <is>
          <t>Overall comparison table</t>
        </is>
      </c>
      <c r="C8" s="12" t="inlineStr">
        <is>
          <t>Adaptive (pseudo-labels) accuracy</t>
        </is>
      </c>
      <c r="D8" s="25" t="inlineStr">
        <is>
          <t>85.7%</t>
        </is>
      </c>
    </row>
    <row r="9" ht="19.5" customHeight="1">
      <c r="A9" s="12" t="inlineStr">
        <is>
          <t>11</t>
        </is>
      </c>
      <c r="B9" s="12" t="inlineStr">
        <is>
          <t>Overall comparison table</t>
        </is>
      </c>
      <c r="C9" s="12" t="inlineStr">
        <is>
          <t>Adaptive (hybrid, every 50) accuracy</t>
        </is>
      </c>
      <c r="D9" s="25" t="inlineStr">
        <is>
          <t>76.0 / 90.1 / 89.2 / 45.8 / 88.2</t>
        </is>
      </c>
    </row>
    <row r="10" ht="19.5" customHeight="1">
      <c r="A10" s="12" t="inlineStr">
        <is>
          <t>12</t>
        </is>
      </c>
      <c r="B10" s="12" t="inlineStr">
        <is>
          <t>Temporal segment table</t>
        </is>
      </c>
      <c r="C10" s="12" t="inlineStr">
        <is>
          <t>Segment 1 — all 5 decoders</t>
        </is>
      </c>
      <c r="D10" s="25" t="inlineStr">
        <is>
          <t>80.5 / 85.9 / 92.4 / 20.9 / 93.4</t>
        </is>
      </c>
    </row>
    <row r="11" ht="19.5" customHeight="1">
      <c r="A11" s="12" t="inlineStr">
        <is>
          <t>12</t>
        </is>
      </c>
      <c r="B11" s="12" t="inlineStr">
        <is>
          <t>Temporal segment table</t>
        </is>
      </c>
      <c r="C11" s="12" t="inlineStr">
        <is>
          <t>Segment 2 — all 5 decoders</t>
        </is>
      </c>
      <c r="D11" s="25" t="inlineStr">
        <is>
          <t>75.8 / 75.1 / 90.8 / 12.2 / 89.9</t>
        </is>
      </c>
    </row>
    <row r="12" ht="19.5" customHeight="1">
      <c r="A12" s="12" t="inlineStr">
        <is>
          <t>12</t>
        </is>
      </c>
      <c r="B12" s="12" t="inlineStr">
        <is>
          <t>Temporal segment table</t>
        </is>
      </c>
      <c r="C12" s="12" t="inlineStr">
        <is>
          <t>Segment 3 — all 5 decoders</t>
        </is>
      </c>
      <c r="D12" s="25" t="inlineStr">
        <is>
          <t>57.6 / 66.1 / 81.8 / 19.7 / 82.6</t>
        </is>
      </c>
    </row>
    <row r="13" ht="19.5" customHeight="1">
      <c r="A13" s="12" t="inlineStr">
        <is>
          <t>12</t>
        </is>
      </c>
      <c r="B13" s="12" t="inlineStr">
        <is>
          <t>Temporal segment table</t>
        </is>
      </c>
      <c r="C13" s="12" t="inlineStr">
        <is>
          <t>Segment 4 — all 5 decoders</t>
        </is>
      </c>
      <c r="D13" s="25" t="inlineStr">
        <is>
          <t>60.0 / 65.0 / 76.0 / 26.4 / 73.5</t>
        </is>
      </c>
    </row>
    <row r="14" ht="19.5" customHeight="1">
      <c r="A14" s="12" t="inlineStr">
        <is>
          <t>12</t>
        </is>
      </c>
      <c r="B14" s="12" t="inlineStr">
        <is>
          <t>Temporal segment table</t>
        </is>
      </c>
      <c r="C14" s="12" t="inlineStr">
        <is>
          <t>Segment 5 — all 5 decoders</t>
        </is>
      </c>
      <c r="D14" s="25" t="inlineStr">
        <is>
          <t>13.2 pp</t>
        </is>
      </c>
    </row>
    <row r="15" ht="19.5" customHeight="1">
      <c r="A15" s="12" t="inlineStr">
        <is>
          <t>12</t>
        </is>
      </c>
      <c r="B15" s="12" t="inlineStr">
        <is>
          <t>Highlights</t>
        </is>
      </c>
      <c r="C15" s="12" t="inlineStr">
        <is>
          <t>Static GRU seg 1→5 drop (pp)</t>
        </is>
      </c>
      <c r="D15" s="25" t="inlineStr">
        <is>
          <t>14.7 pp</t>
        </is>
      </c>
    </row>
    <row r="16" ht="19.5" customHeight="1">
      <c r="A16" s="12" t="inlineStr">
        <is>
          <t>12</t>
        </is>
      </c>
      <c r="B16" s="12" t="inlineStr">
        <is>
          <t>Highlights</t>
        </is>
      </c>
      <c r="C16" s="12" t="inlineStr">
        <is>
          <t>Hybrid seg 1→5 drop (pp)</t>
        </is>
      </c>
      <c r="D16" s="25" t="inlineStr">
        <is>
          <t>-2.5 pp (static edges hybrid; pseudo-label collapses)</t>
        </is>
      </c>
    </row>
    <row r="17" ht="19.5" customHeight="1">
      <c r="A17" s="12" t="inlineStr">
        <is>
          <t>12</t>
        </is>
      </c>
      <c r="B17" s="12" t="inlineStr">
        <is>
          <t>Highlights</t>
        </is>
      </c>
      <c r="C17" s="12" t="inlineStr">
        <is>
          <t>Gap between hybrid and static at seg 5</t>
        </is>
      </c>
      <c r="D17" s="25" t="inlineStr">
        <is>
          <t>99.9% (effectively saturated)</t>
        </is>
      </c>
    </row>
    <row r="18" ht="19.5" customHeight="1">
      <c r="A18" s="12" t="inlineStr">
        <is>
          <t>13</t>
        </is>
      </c>
      <c r="B18" s="12" t="inlineStr">
        <is>
          <t>Pseudo-label failure</t>
        </is>
      </c>
      <c r="C18" s="12" t="inlineStr">
        <is>
          <t>Avg confidence at seg 5</t>
        </is>
      </c>
      <c r="D18" s="25" t="inlineStr">
        <is>
          <t>26.4%</t>
        </is>
      </c>
    </row>
    <row r="19" ht="19.5" customHeight="1">
      <c r="A19" s="12" t="inlineStr">
        <is>
          <t>13</t>
        </is>
      </c>
      <c r="B19" s="12" t="inlineStr">
        <is>
          <t>Pseudo-label failure</t>
        </is>
      </c>
      <c r="C19" s="12" t="inlineStr">
        <is>
          <t>Accuracy at seg 5</t>
        </is>
      </c>
      <c r="D19" s="25" t="inlineStr">
        <is>
          <t>86.4%</t>
        </is>
      </c>
    </row>
    <row r="20" ht="19.5" customHeight="1">
      <c r="A20" s="12" t="inlineStr">
        <is>
          <t>14</t>
        </is>
      </c>
      <c r="B20" s="12" t="inlineStr">
        <is>
          <t>Supervision sweep table</t>
        </is>
      </c>
      <c r="C20" s="12" t="inlineStr">
        <is>
          <t>Every 10 windows accuracy</t>
        </is>
      </c>
      <c r="D20" s="25" t="inlineStr">
        <is>
          <t>84.2%</t>
        </is>
      </c>
    </row>
    <row r="21" ht="19.5" customHeight="1">
      <c r="A21" s="12" t="inlineStr">
        <is>
          <t>14</t>
        </is>
      </c>
      <c r="B21" s="12" t="inlineStr">
        <is>
          <t>Supervision sweep table</t>
        </is>
      </c>
      <c r="C21" s="12" t="inlineStr">
        <is>
          <t>Every 20 windows accuracy</t>
        </is>
      </c>
      <c r="D21" s="25" t="inlineStr">
        <is>
          <t>80.7%</t>
        </is>
      </c>
    </row>
    <row r="22" ht="19.5" customHeight="1">
      <c r="A22" s="12" t="inlineStr">
        <is>
          <t>14</t>
        </is>
      </c>
      <c r="B22" s="12" t="inlineStr">
        <is>
          <t>Supervision sweep table</t>
        </is>
      </c>
      <c r="C22" s="12" t="inlineStr">
        <is>
          <t>Every 50 windows accuracy</t>
        </is>
      </c>
      <c r="D22" s="25" t="inlineStr">
        <is>
          <t>73.6%</t>
        </is>
      </c>
    </row>
    <row r="23" ht="19.5" customHeight="1">
      <c r="A23" s="12" t="inlineStr">
        <is>
          <t>14</t>
        </is>
      </c>
      <c r="B23" s="12" t="inlineStr">
        <is>
          <t>Supervision sweep table</t>
        </is>
      </c>
      <c r="C23" s="12" t="inlineStr">
        <is>
          <t>Every 100 windows accuracy</t>
        </is>
      </c>
      <c r="D23" s="25" t="inlineStr">
        <is>
          <t>80.9%</t>
        </is>
      </c>
    </row>
    <row r="24" ht="19.5" customHeight="1">
      <c r="A24" s="12" t="inlineStr">
        <is>
          <t>14</t>
        </is>
      </c>
      <c r="B24" s="12" t="inlineStr">
        <is>
          <t>Supervision sweep table</t>
        </is>
      </c>
      <c r="C24" s="12" t="inlineStr">
        <is>
          <t>Every 200 windows accuracy</t>
        </is>
      </c>
      <c r="D24" s="25" t="inlineStr">
        <is>
          <t>58.3%</t>
        </is>
      </c>
    </row>
    <row r="25" ht="19.5" customHeight="1">
      <c r="A25" s="12" t="inlineStr">
        <is>
          <t>14</t>
        </is>
      </c>
      <c r="B25" s="12" t="inlineStr">
        <is>
          <t>Supervision sweep table</t>
        </is>
      </c>
      <c r="C25" s="12" t="inlineStr">
        <is>
          <t>Every 500 windows accuracy</t>
        </is>
      </c>
      <c r="D25" s="25" t="inlineStr">
        <is>
          <t>86.1%</t>
        </is>
      </c>
    </row>
    <row r="26" ht="19.5" customHeight="1">
      <c r="A26" s="12" t="inlineStr">
        <is>
          <t>14</t>
        </is>
      </c>
      <c r="B26" s="12" t="inlineStr">
        <is>
          <t>Supervision sweep table</t>
        </is>
      </c>
      <c r="C26" s="12" t="inlineStr">
        <is>
          <t>Static (no adaptation) accuracy</t>
        </is>
      </c>
      <c r="D26" s="25" t="n"/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Normal="100" workbookViewId="0">
      <pane ySplit="3" topLeftCell="A4" activePane="bottomLeft" state="frozen"/>
      <selection pane="bottomLeft" activeCell="G7" sqref="G7"/>
    </sheetView>
  </sheetViews>
  <sheetFormatPr baseColWidth="8" defaultColWidth="8.6640625" defaultRowHeight="14.25"/>
  <cols>
    <col width="4" customWidth="1" min="1" max="1"/>
    <col width="50" customWidth="1" min="2" max="2"/>
    <col width="11" customWidth="1" min="3" max="3"/>
    <col width="60" customWidth="1" min="4" max="4"/>
    <col width="12" customWidth="1" min="5" max="5"/>
  </cols>
  <sheetData>
    <row r="1" ht="17.65" customHeight="1">
      <c r="A1" s="7" t="inlineStr">
        <is>
          <t>Known issues, risks, and judge Q&amp;A prep</t>
        </is>
      </c>
    </row>
    <row r="3">
      <c r="A3" s="10" t="inlineStr">
        <is>
          <t>#</t>
        </is>
      </c>
      <c r="B3" s="10" t="inlineStr">
        <is>
          <t>Issue</t>
        </is>
      </c>
      <c r="C3" s="10" t="inlineStr">
        <is>
          <t>Severity</t>
        </is>
      </c>
      <c r="D3" s="10" t="inlineStr">
        <is>
          <t>Mitigation / answer for judges</t>
        </is>
      </c>
      <c r="E3" s="29" t="inlineStr">
        <is>
          <t>Addressed</t>
        </is>
      </c>
    </row>
    <row r="4" ht="48" customHeight="1">
      <c r="A4" s="11" t="n">
        <v>1</v>
      </c>
      <c r="B4" s="12" t="inlineStr">
        <is>
          <t>Hybrid vs static gap is ~0.2pp overall (statistically indistinguishable)</t>
        </is>
      </c>
      <c r="C4" s="12" t="inlineStr">
        <is>
          <t>Blocker</t>
        </is>
      </c>
      <c r="D4" s="12" t="inlineStr">
        <is>
          <t>Re-run with N=200, tuned adapt_lr/ema_decay. If still tight, pivot narrative to lead with pseudo-label collapse. Don't oversell.</t>
        </is>
      </c>
      <c r="E4" s="12" t="inlineStr">
        <is>
          <t>Open</t>
        </is>
      </c>
    </row>
    <row r="5" ht="48" customHeight="1">
      <c r="A5" s="11" t="n">
        <v>2</v>
      </c>
      <c r="B5" s="12" t="inlineStr">
        <is>
          <t>Hybrid degrades MORE than static across temporal segments (17.8pp vs 10.1pp drop)</t>
        </is>
      </c>
      <c r="C5" s="12" t="inlineStr">
        <is>
          <t>High</t>
        </is>
      </c>
      <c r="D5" s="12" t="inlineStr">
        <is>
          <t>This is the sharpest critique a judge could make. Answer honestly: 'Hybrid trades overall stability for online plasticity; it still dramatically beats pure pseudo-label. Future work: better supervision scheduling.'</t>
        </is>
      </c>
      <c r="E5" s="26" t="inlineStr">
        <is>
          <t>Addressed</t>
        </is>
      </c>
    </row>
    <row r="6" ht="48" customHeight="1">
      <c r="A6" s="11" t="n">
        <v>3</v>
      </c>
      <c r="B6" s="12" t="inlineStr">
        <is>
          <t>Phase 3 GRU overfits (val_acc 86.7% → 82.9% over epochs)</t>
        </is>
      </c>
      <c r="C6" s="12" t="inlineStr">
        <is>
          <t>High</t>
        </is>
      </c>
      <c r="D6" s="12" t="inlineStr">
        <is>
          <t>Fix via early stopping + dropout=0.3 and re-report. Or answer: 'We report final-epoch for fair comparison; peak val was 86.7%.'</t>
        </is>
      </c>
      <c r="E6" s="12" t="inlineStr">
        <is>
          <t>Open</t>
        </is>
      </c>
    </row>
    <row r="7" ht="48" customHeight="1">
      <c r="A7" s="11" t="n">
        <v>4</v>
      </c>
      <c r="B7" s="12" t="inlineStr">
        <is>
          <t>Supervision frequency sweep is non-monotonic (every 500 &gt; every 200)</t>
        </is>
      </c>
      <c r="C7" s="12" t="inlineStr">
        <is>
          <t>Medium</t>
        </is>
      </c>
      <c r="D7" s="12" t="inlineStr">
        <is>
          <t>Clear noise. Re-run with N=200 should smooth it. If not, average 3 seeds.</t>
        </is>
      </c>
      <c r="E7" s="26" t="inlineStr">
        <is>
          <t>Addressed</t>
        </is>
      </c>
    </row>
    <row r="8" ht="48" customHeight="1">
      <c r="A8" s="11" t="n">
        <v>5</v>
      </c>
      <c r="B8" s="12" t="inlineStr">
        <is>
          <t>Notebook was run at N=60, T=800 — smaller than recommended N=200, T=1000</t>
        </is>
      </c>
      <c r="C8" s="12" t="inlineStr">
        <is>
          <t>Blocker</t>
        </is>
      </c>
      <c r="D8" s="12" t="inlineStr">
        <is>
          <t>Just re-run. ~20 min on M-series. This is the single unblocker.</t>
        </is>
      </c>
      <c r="E8" s="26" t="inlineStr">
        <is>
          <t>Addressed</t>
        </is>
      </c>
    </row>
    <row r="9" ht="48" customHeight="1">
      <c r="A9" s="11" t="n">
        <v>6</v>
      </c>
      <c r="B9" s="12" t="inlineStr">
        <is>
          <t>README still says 'results pending full notebook run' (line 175)</t>
        </is>
      </c>
      <c r="C9" s="12" t="inlineStr">
        <is>
          <t>Medium</t>
        </is>
      </c>
      <c r="D9" s="12" t="inlineStr">
        <is>
          <t>Update after re-run. Bad look if a judge clones the repo and sees this.</t>
        </is>
      </c>
      <c r="E9" s="12" t="inlineStr">
        <is>
          <t>Open</t>
        </is>
      </c>
    </row>
    <row r="10" ht="48" customHeight="1">
      <c r="A10" s="11" t="n">
        <v>7</v>
      </c>
      <c r="B10" s="12" t="inlineStr">
        <is>
          <t>Phase 4 notebook cell 16 shows stale predict_adaptive signature (no supervised_every param)</t>
        </is>
      </c>
      <c r="C10" s="12" t="inlineStr">
        <is>
          <t>Low</t>
        </is>
      </c>
      <c r="D10" s="12" t="inlineStr">
        <is>
          <t>Cosmetic — re-running the notebook will fix it. If not, delete that cell.</t>
        </is>
      </c>
      <c r="E10" s="12" t="inlineStr">
        <is>
          <t>Open</t>
        </is>
      </c>
    </row>
    <row r="11" ht="48" customHeight="1">
      <c r="A11" s="11" t="n">
        <v>8</v>
      </c>
      <c r="B11" s="12" t="inlineStr">
        <is>
          <t>Bayesian filter only tested from Phase 2 onwards (not Phase 1)</t>
        </is>
      </c>
      <c r="C11" s="12" t="inlineStr">
        <is>
          <t>Low</t>
        </is>
      </c>
      <c r="D11" s="12" t="inlineStr">
        <is>
          <t>Not a real problem — Bayesian is optimal under Phase 1 assumptions by construction. Answer: 'Phase 1 is the sanity check; Bayesian is the theoretical optimum there.'</t>
        </is>
      </c>
      <c r="E11" s="12" t="inlineStr">
        <is>
          <t>Open</t>
        </is>
      </c>
    </row>
    <row r="12" ht="48" customHeight="1">
      <c r="A12" s="11" t="n">
        <v>9</v>
      </c>
      <c r="B12" s="12" t="inlineStr">
        <is>
          <t>Only 3-qubit repetition code, not a real surface code</t>
        </is>
      </c>
      <c r="C12" s="12" t="inlineStr">
        <is>
          <t>Low</t>
        </is>
      </c>
      <c r="D12" s="12" t="inlineStr">
        <is>
          <t>Listed as future work in README. Answer: 'The code is representative; the decoder architecture generalizes. Surface code extension is future work.'</t>
        </is>
      </c>
      <c r="E12" s="12" t="inlineStr">
        <is>
          <t>Open</t>
        </is>
      </c>
    </row>
    <row r="13" ht="48" customHeight="1">
      <c r="A13" s="11" t="n">
        <v>10</v>
      </c>
      <c r="B13" s="12" t="inlineStr">
        <is>
          <t>No comparison to published ML decoder work (Chamberland, Varbanov, etc.)</t>
        </is>
      </c>
      <c r="C13" s="12" t="inlineStr">
        <is>
          <t>Low</t>
        </is>
      </c>
      <c r="D13" s="12" t="inlineStr">
        <is>
          <t>Honest answer: 'This is an undergraduate project focused on the analog/continuous setting; prior ML decoder work is mostly on discrete syndromes. Direct comparison is future work.'</t>
        </is>
      </c>
      <c r="E13" s="12" t="inlineStr">
        <is>
          <t>Open</t>
        </is>
      </c>
    </row>
  </sheetData>
  <autoFilter ref="A3:E13"/>
  <mergeCells count="1">
    <mergeCell ref="A1:E1"/>
  </mergeCells>
  <conditionalFormatting sqref="C4:C13">
    <cfRule type="cellIs" priority="2" operator="equal" dxfId="2">
      <formula>"Blocker"</formula>
    </cfRule>
    <cfRule type="cellIs" priority="3" operator="equal" dxfId="5">
      <formula>"High"</formula>
    </cfRule>
    <cfRule type="cellIs" priority="4" operator="equal" dxfId="1">
      <formula>"Medium"</formula>
    </cfRule>
    <cfRule type="cellIs" priority="5" operator="equal" dxfId="3">
      <formula>"Low"</formula>
    </cfRule>
  </conditionalFormatting>
  <conditionalFormatting sqref="E4:E13">
    <cfRule type="cellIs" priority="6" operator="equal" dxfId="2">
      <formula>"Open"</formula>
    </cfRule>
    <cfRule type="cellIs" priority="7" operator="equal" dxfId="1">
      <formula>"Mitigated"</formula>
    </cfRule>
    <cfRule type="cellIs" priority="8" operator="equal" dxfId="0">
      <formula>"Closed"</formula>
    </cfRule>
  </conditionalFormatting>
  <dataValidations count="2">
    <dataValidation sqref="C4:C13" showDropDown="0" showInputMessage="0" showErrorMessage="0" allowBlank="1" type="list">
      <formula1>"Blocker,High,Medium,Low"</formula1>
      <formula2>0</formula2>
    </dataValidation>
    <dataValidation sqref="E4:E13" showDropDown="0" showInputMessage="0" showErrorMessage="0" allowBlank="1" type="list">
      <formula1>"Open,Mitigated,Closed"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2026-04-17T22:00:08Z</dcterms:created>
  <dcterms:modified xmlns:dcterms="http://purl.org/dc/terms/" xmlns:xsi="http://www.w3.org/2001/XMLSchema-instance" xsi:type="dcterms:W3CDTF">2026-04-20T02:22:13Z</dcterms:modified>
  <cp:lastModifiedBy>Clark Enge</cp:lastModifiedBy>
  <cp:revision>0</cp:revision>
</cp:coreProperties>
</file>